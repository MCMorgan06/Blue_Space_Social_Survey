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llacuk-my.sharepoint.com/personal/m_c_morgan-2021_hull_ac_uk/Documents/Blue_Space_Survey_Analysis/"/>
    </mc:Choice>
  </mc:AlternateContent>
  <xr:revisionPtr revIDLastSave="532" documentId="8_{939C8D64-9BED-41D3-9D42-EC4B0AD3EE05}" xr6:coauthVersionLast="47" xr6:coauthVersionMax="47" xr10:uidLastSave="{81586E04-9506-4D83-BD39-6F5D7FA26AF9}"/>
  <bookViews>
    <workbookView xWindow="30210" yWindow="1920" windowWidth="25980" windowHeight="13560" activeTab="1" xr2:uid="{415155E2-2AA4-4FA0-9C10-B75943D55AE8}"/>
  </bookViews>
  <sheets>
    <sheet name="Q14 and Q15" sheetId="1" r:id="rId1"/>
    <sheet name="Table" sheetId="5" r:id="rId2"/>
    <sheet name="Q16 and Q17" sheetId="3" r:id="rId3"/>
    <sheet name="Q19" sheetId="4" r:id="rId4"/>
  </sheets>
  <definedNames>
    <definedName name="_xlnm._FilterDatabase" localSheetId="0" hidden="1">'Q14 and Q15'!$A$1:$A$9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" i="1"/>
  <c r="J6" i="1"/>
  <c r="J3" i="1"/>
  <c r="J4" i="1"/>
  <c r="J5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" i="1"/>
  <c r="C2" i="4"/>
  <c r="C6" i="4"/>
  <c r="C3" i="4"/>
  <c r="C5" i="4"/>
  <c r="C4" i="4"/>
</calcChain>
</file>

<file path=xl/sharedStrings.xml><?xml version="1.0" encoding="utf-8"?>
<sst xmlns="http://schemas.openxmlformats.org/spreadsheetml/2006/main" count="124" uniqueCount="78">
  <si>
    <t>Blue space type</t>
  </si>
  <si>
    <t>Inland</t>
  </si>
  <si>
    <t>Estuary</t>
  </si>
  <si>
    <t>Coastal</t>
  </si>
  <si>
    <t>Colour and Characteristics</t>
  </si>
  <si>
    <t>Descriptives</t>
  </si>
  <si>
    <t>size</t>
  </si>
  <si>
    <t>limited</t>
  </si>
  <si>
    <t>vast</t>
  </si>
  <si>
    <t>Sound and Smell</t>
  </si>
  <si>
    <t>Emotions and Sentiment</t>
  </si>
  <si>
    <t>Fascinating, joyful and interesting</t>
  </si>
  <si>
    <t>Dynamic and Changeable</t>
  </si>
  <si>
    <t>Importance</t>
  </si>
  <si>
    <t>Restorative and Therapeutic</t>
  </si>
  <si>
    <t>Safe and Welcoming</t>
  </si>
  <si>
    <t>Unsafe and Unwelcoming</t>
  </si>
  <si>
    <t>Perceptions of Condition</t>
  </si>
  <si>
    <t>Condition and Aethetic</t>
  </si>
  <si>
    <t>Positive</t>
  </si>
  <si>
    <t>Negative</t>
  </si>
  <si>
    <t>Improving</t>
  </si>
  <si>
    <t>Managed</t>
  </si>
  <si>
    <t>Neglected and Abandoned</t>
  </si>
  <si>
    <t>Use</t>
  </si>
  <si>
    <t>Wildlife</t>
  </si>
  <si>
    <t>Accessible</t>
  </si>
  <si>
    <t>Activities</t>
  </si>
  <si>
    <t>Inaccessible</t>
  </si>
  <si>
    <t>Popularity</t>
  </si>
  <si>
    <t>Q14 ref</t>
  </si>
  <si>
    <t>Q15 ref</t>
  </si>
  <si>
    <t>Q14 repondents</t>
  </si>
  <si>
    <t>Q15 repondents</t>
  </si>
  <si>
    <t>Theme</t>
  </si>
  <si>
    <t>Sub-Theme</t>
  </si>
  <si>
    <t>Category</t>
  </si>
  <si>
    <t>Respondents</t>
  </si>
  <si>
    <t>Fungi and Lichen</t>
  </si>
  <si>
    <t>Invertebrates</t>
  </si>
  <si>
    <t>Nature</t>
  </si>
  <si>
    <t>Plants</t>
  </si>
  <si>
    <t>Vertebrates</t>
  </si>
  <si>
    <t>Respondents Q16</t>
  </si>
  <si>
    <t>Respondents Q17</t>
  </si>
  <si>
    <t>Outreach</t>
  </si>
  <si>
    <t>Accessibility</t>
  </si>
  <si>
    <t>Management</t>
  </si>
  <si>
    <t>Improve condition</t>
  </si>
  <si>
    <t>Infrastructure</t>
  </si>
  <si>
    <t>%</t>
  </si>
  <si>
    <t>Absolute difference in References</t>
  </si>
  <si>
    <t>Absolute difference in Respondents</t>
  </si>
  <si>
    <t>McNemar's</t>
  </si>
  <si>
    <t>sum of pairs</t>
  </si>
  <si>
    <t>skip &lt; 10 discordant</t>
  </si>
  <si>
    <t>Significant</t>
  </si>
  <si>
    <t>Non-significant</t>
  </si>
  <si>
    <t>*</t>
  </si>
  <si>
    <t>P-Value</t>
  </si>
  <si>
    <t>McNemar's Chi-squared</t>
  </si>
  <si>
    <t>Blue space type - Inland</t>
  </si>
  <si>
    <t>Blue space type - Coastal</t>
  </si>
  <si>
    <t>Blue space type - Estuary</t>
  </si>
  <si>
    <t>Descriptives - Colour and Characteristics</t>
  </si>
  <si>
    <t>Descriptives -  Sound and Smell</t>
  </si>
  <si>
    <t>Emotions and Sentiment - Restorative and Therapeutic</t>
  </si>
  <si>
    <t>Emotions and Sentiment - Fascinating, joyful and interesting</t>
  </si>
  <si>
    <t>Emotions and Sentiment - Importance</t>
  </si>
  <si>
    <t>Perceptions of Condition - Postive</t>
  </si>
  <si>
    <t>Perceptions of Condition - Negative</t>
  </si>
  <si>
    <t>Perceptions of Condition - Neglected and Abandones</t>
  </si>
  <si>
    <t>Perceptions of Condition - Improving</t>
  </si>
  <si>
    <t>Use - Activities</t>
  </si>
  <si>
    <t>Use - Inaccessible</t>
  </si>
  <si>
    <t>Use - Popularity</t>
  </si>
  <si>
    <t>Wildlife and Nature</t>
  </si>
  <si>
    <t>Descriptives - Size - Vastness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</si>
</sst>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97132"/>
      <color rgb="FF994010"/>
      <color rgb="FF0F9ED5"/>
      <color rgb="FF4EA72E"/>
      <color rgb="FF095F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B7-45EC-91C5-787EBD730423}"/>
              </c:ext>
            </c:extLst>
          </c:dPt>
          <c:dPt>
            <c:idx val="1"/>
            <c:bubble3D val="0"/>
            <c:spPr>
              <a:solidFill>
                <a:srgbClr val="99401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DB7-45EC-91C5-787EBD730423}"/>
              </c:ext>
            </c:extLst>
          </c:dPt>
          <c:dPt>
            <c:idx val="2"/>
            <c:bubble3D val="0"/>
            <c:spPr>
              <a:solidFill>
                <a:srgbClr val="E9713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B7-45EC-91C5-787EBD730423}"/>
              </c:ext>
            </c:extLst>
          </c:dPt>
          <c:dPt>
            <c:idx val="3"/>
            <c:bubble3D val="0"/>
            <c:spPr>
              <a:solidFill>
                <a:srgbClr val="095F8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DB7-45EC-91C5-787EBD730423}"/>
              </c:ext>
            </c:extLst>
          </c:dPt>
          <c:dPt>
            <c:idx val="4"/>
            <c:bubble3D val="0"/>
            <c:spPr>
              <a:solidFill>
                <a:srgbClr val="4EA72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DB7-45EC-91C5-787EBD730423}"/>
              </c:ext>
            </c:extLst>
          </c:dPt>
          <c:cat>
            <c:strRef>
              <c:f>'Q19'!$A$2:$A$6</c:f>
              <c:strCache>
                <c:ptCount val="5"/>
                <c:pt idx="0">
                  <c:v>Improve condition</c:v>
                </c:pt>
                <c:pt idx="1">
                  <c:v>Management</c:v>
                </c:pt>
                <c:pt idx="2">
                  <c:v>Accessibility</c:v>
                </c:pt>
                <c:pt idx="3">
                  <c:v>Outreach</c:v>
                </c:pt>
                <c:pt idx="4">
                  <c:v>Infrastructure</c:v>
                </c:pt>
              </c:strCache>
            </c:strRef>
          </c:cat>
          <c:val>
            <c:numRef>
              <c:f>'Q19'!$C$2:$C$6</c:f>
              <c:numCache>
                <c:formatCode>0</c:formatCode>
                <c:ptCount val="5"/>
                <c:pt idx="0">
                  <c:v>21.052631578947366</c:v>
                </c:pt>
                <c:pt idx="1">
                  <c:v>30.921052631578949</c:v>
                </c:pt>
                <c:pt idx="2">
                  <c:v>28.618421052631575</c:v>
                </c:pt>
                <c:pt idx="3">
                  <c:v>26.973684210526315</c:v>
                </c:pt>
                <c:pt idx="4">
                  <c:v>10.855263157894738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7-45EC-91C5-787EBD730423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1</xdr:row>
      <xdr:rowOff>4760</xdr:rowOff>
    </xdr:from>
    <xdr:to>
      <xdr:col>18</xdr:col>
      <xdr:colOff>412340</xdr:colOff>
      <xdr:row>32</xdr:row>
      <xdr:rowOff>49775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7D3901-1CB0-2C49-E8F0-B7888FCBBE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D6134-444F-4C70-9098-0C87C54BF4F5}">
  <dimension ref="A1:L24"/>
  <sheetViews>
    <sheetView workbookViewId="0">
      <selection activeCell="E6" sqref="E6:K6"/>
    </sheetView>
  </sheetViews>
  <sheetFormatPr defaultRowHeight="15" x14ac:dyDescent="0.25"/>
  <cols>
    <col min="1" max="1" width="23.5703125" customWidth="1"/>
    <col min="2" max="2" width="32.28515625" customWidth="1"/>
    <col min="6" max="6" width="16.28515625" customWidth="1"/>
    <col min="7" max="7" width="20" customWidth="1"/>
    <col min="9" max="9" width="39.85546875" customWidth="1"/>
    <col min="10" max="10" width="37.5703125" customWidth="1"/>
    <col min="11" max="11" width="47.42578125" customWidth="1"/>
  </cols>
  <sheetData>
    <row r="1" spans="1:12" x14ac:dyDescent="0.25">
      <c r="A1" s="1" t="s">
        <v>34</v>
      </c>
      <c r="B1" s="1" t="s">
        <v>35</v>
      </c>
      <c r="C1" s="1" t="s">
        <v>36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54</v>
      </c>
      <c r="I1" s="1" t="s">
        <v>51</v>
      </c>
      <c r="J1" s="1" t="s">
        <v>52</v>
      </c>
      <c r="K1" s="1" t="s">
        <v>53</v>
      </c>
    </row>
    <row r="2" spans="1:12" x14ac:dyDescent="0.25">
      <c r="A2" t="s">
        <v>0</v>
      </c>
      <c r="B2" t="s">
        <v>1</v>
      </c>
      <c r="D2">
        <v>89</v>
      </c>
      <c r="E2">
        <v>62</v>
      </c>
      <c r="F2">
        <v>83</v>
      </c>
      <c r="G2">
        <v>60</v>
      </c>
      <c r="H2">
        <f>F2+G2</f>
        <v>143</v>
      </c>
      <c r="I2">
        <f t="shared" ref="I2:I24" si="0">D2-E2</f>
        <v>27</v>
      </c>
      <c r="J2">
        <f t="shared" ref="J2:J24" si="1">F2-G2</f>
        <v>23</v>
      </c>
      <c r="K2" t="s">
        <v>56</v>
      </c>
      <c r="L2" t="s">
        <v>58</v>
      </c>
    </row>
    <row r="3" spans="1:12" x14ac:dyDescent="0.25">
      <c r="A3" t="s">
        <v>0</v>
      </c>
      <c r="B3" t="s">
        <v>3</v>
      </c>
      <c r="D3">
        <v>33</v>
      </c>
      <c r="E3">
        <v>41</v>
      </c>
      <c r="F3">
        <v>27</v>
      </c>
      <c r="G3">
        <v>31</v>
      </c>
      <c r="H3">
        <f t="shared" ref="H3:H24" si="2">F3+G3</f>
        <v>58</v>
      </c>
      <c r="I3">
        <f t="shared" si="0"/>
        <v>-8</v>
      </c>
      <c r="J3">
        <f t="shared" si="1"/>
        <v>-4</v>
      </c>
      <c r="K3" t="s">
        <v>57</v>
      </c>
    </row>
    <row r="4" spans="1:12" x14ac:dyDescent="0.25">
      <c r="A4" t="s">
        <v>0</v>
      </c>
      <c r="B4" t="s">
        <v>2</v>
      </c>
      <c r="D4">
        <v>15</v>
      </c>
      <c r="E4">
        <v>18</v>
      </c>
      <c r="F4">
        <v>15</v>
      </c>
      <c r="G4">
        <v>18</v>
      </c>
      <c r="H4">
        <f t="shared" si="2"/>
        <v>33</v>
      </c>
      <c r="I4">
        <f t="shared" si="0"/>
        <v>-3</v>
      </c>
      <c r="J4">
        <f t="shared" si="1"/>
        <v>-3</v>
      </c>
      <c r="K4" t="s">
        <v>57</v>
      </c>
    </row>
    <row r="5" spans="1:12" x14ac:dyDescent="0.25">
      <c r="A5" t="s">
        <v>5</v>
      </c>
      <c r="B5" t="s">
        <v>4</v>
      </c>
      <c r="D5">
        <v>32</v>
      </c>
      <c r="E5">
        <v>59</v>
      </c>
      <c r="F5">
        <v>31</v>
      </c>
      <c r="G5">
        <v>49</v>
      </c>
      <c r="H5">
        <f t="shared" si="2"/>
        <v>80</v>
      </c>
      <c r="I5">
        <f t="shared" si="0"/>
        <v>-27</v>
      </c>
      <c r="J5">
        <f t="shared" si="1"/>
        <v>-18</v>
      </c>
      <c r="K5" t="s">
        <v>56</v>
      </c>
      <c r="L5" t="s">
        <v>58</v>
      </c>
    </row>
    <row r="6" spans="1:12" x14ac:dyDescent="0.25">
      <c r="A6" t="s">
        <v>5</v>
      </c>
      <c r="B6" t="s">
        <v>6</v>
      </c>
      <c r="C6" t="s">
        <v>8</v>
      </c>
      <c r="D6">
        <v>14</v>
      </c>
      <c r="E6">
        <v>22</v>
      </c>
      <c r="F6">
        <v>13</v>
      </c>
      <c r="G6">
        <v>22</v>
      </c>
      <c r="H6">
        <f t="shared" si="2"/>
        <v>35</v>
      </c>
      <c r="I6">
        <f t="shared" si="0"/>
        <v>-8</v>
      </c>
      <c r="J6">
        <f t="shared" si="1"/>
        <v>-9</v>
      </c>
      <c r="K6" t="s">
        <v>57</v>
      </c>
    </row>
    <row r="7" spans="1:12" x14ac:dyDescent="0.25">
      <c r="A7" t="s">
        <v>5</v>
      </c>
      <c r="B7" t="s">
        <v>6</v>
      </c>
      <c r="C7" t="s">
        <v>7</v>
      </c>
      <c r="D7">
        <v>8</v>
      </c>
      <c r="E7">
        <v>2</v>
      </c>
      <c r="F7">
        <v>8</v>
      </c>
      <c r="G7">
        <v>2</v>
      </c>
      <c r="H7">
        <f t="shared" si="2"/>
        <v>10</v>
      </c>
      <c r="I7">
        <f t="shared" si="0"/>
        <v>6</v>
      </c>
      <c r="J7">
        <f t="shared" si="1"/>
        <v>6</v>
      </c>
      <c r="K7" t="s">
        <v>55</v>
      </c>
    </row>
    <row r="8" spans="1:12" x14ac:dyDescent="0.25">
      <c r="A8" t="s">
        <v>5</v>
      </c>
      <c r="B8" t="s">
        <v>9</v>
      </c>
      <c r="D8">
        <v>16</v>
      </c>
      <c r="E8">
        <v>9</v>
      </c>
      <c r="F8">
        <v>16</v>
      </c>
      <c r="G8">
        <v>9</v>
      </c>
      <c r="H8">
        <f t="shared" si="2"/>
        <v>25</v>
      </c>
      <c r="I8">
        <f t="shared" si="0"/>
        <v>7</v>
      </c>
      <c r="J8">
        <f t="shared" si="1"/>
        <v>7</v>
      </c>
      <c r="K8" t="s">
        <v>57</v>
      </c>
    </row>
    <row r="9" spans="1:12" x14ac:dyDescent="0.25">
      <c r="A9" t="s">
        <v>10</v>
      </c>
      <c r="B9" t="s">
        <v>14</v>
      </c>
      <c r="D9">
        <v>92</v>
      </c>
      <c r="E9">
        <v>1</v>
      </c>
      <c r="F9">
        <v>74</v>
      </c>
      <c r="G9">
        <v>49</v>
      </c>
      <c r="H9">
        <f t="shared" si="2"/>
        <v>123</v>
      </c>
      <c r="I9">
        <f t="shared" si="0"/>
        <v>91</v>
      </c>
      <c r="J9">
        <f t="shared" si="1"/>
        <v>25</v>
      </c>
      <c r="K9" t="s">
        <v>56</v>
      </c>
      <c r="L9" t="s">
        <v>58</v>
      </c>
    </row>
    <row r="10" spans="1:12" x14ac:dyDescent="0.25">
      <c r="A10" t="s">
        <v>10</v>
      </c>
      <c r="B10" t="s">
        <v>11</v>
      </c>
      <c r="D10">
        <v>34</v>
      </c>
      <c r="E10">
        <v>43</v>
      </c>
      <c r="F10">
        <v>31</v>
      </c>
      <c r="G10">
        <v>34</v>
      </c>
      <c r="H10">
        <f t="shared" si="2"/>
        <v>65</v>
      </c>
      <c r="I10">
        <f t="shared" si="0"/>
        <v>-9</v>
      </c>
      <c r="J10">
        <f t="shared" si="1"/>
        <v>-3</v>
      </c>
      <c r="K10" t="s">
        <v>57</v>
      </c>
    </row>
    <row r="11" spans="1:12" x14ac:dyDescent="0.25">
      <c r="A11" t="s">
        <v>10</v>
      </c>
      <c r="B11" t="s">
        <v>12</v>
      </c>
      <c r="D11">
        <v>5</v>
      </c>
      <c r="E11">
        <v>9</v>
      </c>
      <c r="F11">
        <v>5</v>
      </c>
      <c r="G11">
        <v>9</v>
      </c>
      <c r="H11">
        <f t="shared" si="2"/>
        <v>14</v>
      </c>
      <c r="I11">
        <f t="shared" si="0"/>
        <v>-4</v>
      </c>
      <c r="J11">
        <f t="shared" si="1"/>
        <v>-4</v>
      </c>
      <c r="K11" t="s">
        <v>55</v>
      </c>
    </row>
    <row r="12" spans="1:12" x14ac:dyDescent="0.25">
      <c r="A12" t="s">
        <v>10</v>
      </c>
      <c r="B12" t="s">
        <v>13</v>
      </c>
      <c r="D12">
        <v>14</v>
      </c>
      <c r="E12">
        <v>13</v>
      </c>
      <c r="F12">
        <v>13</v>
      </c>
      <c r="G12">
        <v>13</v>
      </c>
      <c r="H12">
        <f t="shared" si="2"/>
        <v>26</v>
      </c>
      <c r="I12">
        <f t="shared" si="0"/>
        <v>1</v>
      </c>
      <c r="J12">
        <f t="shared" si="1"/>
        <v>0</v>
      </c>
      <c r="K12" t="s">
        <v>57</v>
      </c>
    </row>
    <row r="13" spans="1:12" x14ac:dyDescent="0.25">
      <c r="A13" t="s">
        <v>10</v>
      </c>
      <c r="B13" t="s">
        <v>16</v>
      </c>
      <c r="D13">
        <v>3</v>
      </c>
      <c r="E13">
        <v>3</v>
      </c>
      <c r="F13">
        <v>2</v>
      </c>
      <c r="G13">
        <v>3</v>
      </c>
      <c r="H13">
        <f t="shared" si="2"/>
        <v>5</v>
      </c>
      <c r="I13">
        <f t="shared" si="0"/>
        <v>0</v>
      </c>
      <c r="J13">
        <f t="shared" si="1"/>
        <v>-1</v>
      </c>
      <c r="K13" t="s">
        <v>55</v>
      </c>
    </row>
    <row r="14" spans="1:12" x14ac:dyDescent="0.25">
      <c r="A14" t="s">
        <v>10</v>
      </c>
      <c r="B14" t="s">
        <v>15</v>
      </c>
      <c r="D14">
        <v>6</v>
      </c>
      <c r="E14">
        <v>2</v>
      </c>
      <c r="F14">
        <v>5</v>
      </c>
      <c r="G14">
        <v>2</v>
      </c>
      <c r="H14">
        <f t="shared" si="2"/>
        <v>7</v>
      </c>
      <c r="I14">
        <f t="shared" si="0"/>
        <v>4</v>
      </c>
      <c r="J14">
        <f t="shared" si="1"/>
        <v>3</v>
      </c>
      <c r="K14" t="s">
        <v>55</v>
      </c>
    </row>
    <row r="15" spans="1:12" x14ac:dyDescent="0.25">
      <c r="A15" t="s">
        <v>25</v>
      </c>
      <c r="D15">
        <v>58</v>
      </c>
      <c r="E15">
        <v>109</v>
      </c>
      <c r="F15">
        <v>51</v>
      </c>
      <c r="G15">
        <v>72</v>
      </c>
      <c r="H15">
        <f t="shared" si="2"/>
        <v>123</v>
      </c>
      <c r="I15">
        <f t="shared" si="0"/>
        <v>-51</v>
      </c>
      <c r="J15">
        <f t="shared" si="1"/>
        <v>-21</v>
      </c>
      <c r="K15" t="s">
        <v>56</v>
      </c>
      <c r="L15" t="s">
        <v>58</v>
      </c>
    </row>
    <row r="16" spans="1:12" x14ac:dyDescent="0.25">
      <c r="A16" t="s">
        <v>17</v>
      </c>
      <c r="B16" t="s">
        <v>18</v>
      </c>
      <c r="C16" t="s">
        <v>19</v>
      </c>
      <c r="D16">
        <v>42</v>
      </c>
      <c r="E16">
        <v>31</v>
      </c>
      <c r="F16">
        <v>40</v>
      </c>
      <c r="G16">
        <v>31</v>
      </c>
      <c r="H16">
        <f t="shared" si="2"/>
        <v>71</v>
      </c>
      <c r="I16">
        <f t="shared" si="0"/>
        <v>11</v>
      </c>
      <c r="J16">
        <f t="shared" si="1"/>
        <v>9</v>
      </c>
      <c r="K16" t="s">
        <v>57</v>
      </c>
    </row>
    <row r="17" spans="1:11" x14ac:dyDescent="0.25">
      <c r="A17" t="s">
        <v>17</v>
      </c>
      <c r="B17" t="s">
        <v>21</v>
      </c>
      <c r="D17">
        <v>7</v>
      </c>
      <c r="E17">
        <v>4</v>
      </c>
      <c r="F17">
        <v>7</v>
      </c>
      <c r="G17">
        <v>4</v>
      </c>
      <c r="H17">
        <f t="shared" si="2"/>
        <v>11</v>
      </c>
      <c r="I17">
        <f t="shared" si="0"/>
        <v>3</v>
      </c>
      <c r="J17">
        <f t="shared" si="1"/>
        <v>3</v>
      </c>
      <c r="K17" t="s">
        <v>57</v>
      </c>
    </row>
    <row r="18" spans="1:11" x14ac:dyDescent="0.25">
      <c r="A18" t="s">
        <v>17</v>
      </c>
      <c r="B18" t="s">
        <v>22</v>
      </c>
      <c r="D18">
        <v>7</v>
      </c>
      <c r="E18">
        <v>1</v>
      </c>
      <c r="F18">
        <v>7</v>
      </c>
      <c r="G18">
        <v>1</v>
      </c>
      <c r="H18">
        <f t="shared" si="2"/>
        <v>8</v>
      </c>
      <c r="I18">
        <f t="shared" si="0"/>
        <v>6</v>
      </c>
      <c r="J18">
        <f t="shared" si="1"/>
        <v>6</v>
      </c>
      <c r="K18" t="s">
        <v>55</v>
      </c>
    </row>
    <row r="19" spans="1:11" x14ac:dyDescent="0.25">
      <c r="A19" t="s">
        <v>17</v>
      </c>
      <c r="B19" t="s">
        <v>18</v>
      </c>
      <c r="C19" t="s">
        <v>20</v>
      </c>
      <c r="D19">
        <v>33</v>
      </c>
      <c r="E19">
        <v>24</v>
      </c>
      <c r="F19">
        <v>31</v>
      </c>
      <c r="G19">
        <v>24</v>
      </c>
      <c r="H19">
        <f t="shared" si="2"/>
        <v>55</v>
      </c>
      <c r="I19">
        <f t="shared" si="0"/>
        <v>9</v>
      </c>
      <c r="J19">
        <f t="shared" si="1"/>
        <v>7</v>
      </c>
      <c r="K19" t="s">
        <v>57</v>
      </c>
    </row>
    <row r="20" spans="1:11" x14ac:dyDescent="0.25">
      <c r="A20" t="s">
        <v>17</v>
      </c>
      <c r="B20" t="s">
        <v>23</v>
      </c>
      <c r="D20">
        <v>34</v>
      </c>
      <c r="E20">
        <v>25</v>
      </c>
      <c r="F20">
        <v>29</v>
      </c>
      <c r="G20">
        <v>20</v>
      </c>
      <c r="H20">
        <f t="shared" si="2"/>
        <v>49</v>
      </c>
      <c r="I20">
        <f t="shared" si="0"/>
        <v>9</v>
      </c>
      <c r="J20">
        <f t="shared" si="1"/>
        <v>9</v>
      </c>
      <c r="K20" t="s">
        <v>57</v>
      </c>
    </row>
    <row r="21" spans="1:11" x14ac:dyDescent="0.25">
      <c r="A21" t="s">
        <v>24</v>
      </c>
      <c r="B21" t="s">
        <v>28</v>
      </c>
      <c r="D21">
        <v>11</v>
      </c>
      <c r="E21">
        <v>10</v>
      </c>
      <c r="F21">
        <v>10</v>
      </c>
      <c r="G21">
        <v>9</v>
      </c>
      <c r="H21">
        <f t="shared" si="2"/>
        <v>19</v>
      </c>
      <c r="I21">
        <f t="shared" si="0"/>
        <v>1</v>
      </c>
      <c r="J21">
        <f t="shared" si="1"/>
        <v>1</v>
      </c>
      <c r="K21" t="s">
        <v>57</v>
      </c>
    </row>
    <row r="22" spans="1:11" x14ac:dyDescent="0.25">
      <c r="A22" t="s">
        <v>24</v>
      </c>
      <c r="B22" t="s">
        <v>29</v>
      </c>
      <c r="D22">
        <v>13</v>
      </c>
      <c r="E22">
        <v>11</v>
      </c>
      <c r="F22">
        <v>12</v>
      </c>
      <c r="G22">
        <v>11</v>
      </c>
      <c r="H22">
        <f t="shared" si="2"/>
        <v>23</v>
      </c>
      <c r="I22">
        <f t="shared" si="0"/>
        <v>2</v>
      </c>
      <c r="J22">
        <f t="shared" si="1"/>
        <v>1</v>
      </c>
      <c r="K22" t="s">
        <v>57</v>
      </c>
    </row>
    <row r="23" spans="1:11" x14ac:dyDescent="0.25">
      <c r="A23" t="s">
        <v>24</v>
      </c>
      <c r="B23" t="s">
        <v>26</v>
      </c>
      <c r="D23">
        <v>5</v>
      </c>
      <c r="E23">
        <v>3</v>
      </c>
      <c r="F23">
        <v>5</v>
      </c>
      <c r="G23">
        <v>3</v>
      </c>
      <c r="H23">
        <f t="shared" si="2"/>
        <v>8</v>
      </c>
      <c r="I23">
        <f t="shared" si="0"/>
        <v>2</v>
      </c>
      <c r="J23">
        <f t="shared" si="1"/>
        <v>2</v>
      </c>
      <c r="K23" t="s">
        <v>55</v>
      </c>
    </row>
    <row r="24" spans="1:11" x14ac:dyDescent="0.25">
      <c r="A24" t="s">
        <v>24</v>
      </c>
      <c r="B24" t="s">
        <v>27</v>
      </c>
      <c r="D24">
        <v>10</v>
      </c>
      <c r="E24">
        <v>5</v>
      </c>
      <c r="F24">
        <v>10</v>
      </c>
      <c r="G24">
        <v>5</v>
      </c>
      <c r="H24">
        <f t="shared" si="2"/>
        <v>15</v>
      </c>
      <c r="I24">
        <f t="shared" si="0"/>
        <v>5</v>
      </c>
      <c r="J24">
        <f t="shared" si="1"/>
        <v>5</v>
      </c>
      <c r="K24" t="s">
        <v>57</v>
      </c>
    </row>
  </sheetData>
  <sortState xmlns:xlrd2="http://schemas.microsoft.com/office/spreadsheetml/2017/richdata2" ref="A1:J24">
    <sortCondition ref="A1:A24"/>
  </sortState>
  <conditionalFormatting sqref="I2:I2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2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FA8D-D75B-4CE3-B5E0-6D3866180AA9}">
  <dimension ref="A1:E18"/>
  <sheetViews>
    <sheetView tabSelected="1" workbookViewId="0">
      <selection sqref="A1:E18"/>
    </sheetView>
  </sheetViews>
  <sheetFormatPr defaultRowHeight="15" x14ac:dyDescent="0.25"/>
  <cols>
    <col min="1" max="1" width="54.5703125" customWidth="1"/>
    <col min="2" max="2" width="18.5703125" customWidth="1"/>
    <col min="3" max="3" width="19.28515625" customWidth="1"/>
    <col min="4" max="4" width="25.85546875" customWidth="1"/>
    <col min="5" max="5" width="10.5703125" bestFit="1" customWidth="1"/>
  </cols>
  <sheetData>
    <row r="1" spans="1:5" x14ac:dyDescent="0.25">
      <c r="A1" s="3" t="s">
        <v>34</v>
      </c>
      <c r="B1" s="3" t="s">
        <v>32</v>
      </c>
      <c r="C1" s="3" t="s">
        <v>33</v>
      </c>
      <c r="D1" s="3" t="s">
        <v>60</v>
      </c>
      <c r="E1" s="3" t="s">
        <v>59</v>
      </c>
    </row>
    <row r="2" spans="1:5" x14ac:dyDescent="0.25">
      <c r="A2" s="4" t="s">
        <v>61</v>
      </c>
      <c r="B2" s="4">
        <v>83</v>
      </c>
      <c r="C2" s="4">
        <v>60</v>
      </c>
      <c r="D2" s="7">
        <v>9.8775999999999993</v>
      </c>
      <c r="E2" s="8">
        <v>1.673E-3</v>
      </c>
    </row>
    <row r="3" spans="1:5" x14ac:dyDescent="0.25">
      <c r="A3" s="4" t="s">
        <v>62</v>
      </c>
      <c r="B3" s="4">
        <v>27</v>
      </c>
      <c r="C3" s="4">
        <v>31</v>
      </c>
      <c r="D3" s="5">
        <v>0.375</v>
      </c>
      <c r="E3" s="6">
        <v>0.5403</v>
      </c>
    </row>
    <row r="4" spans="1:5" x14ac:dyDescent="0.25">
      <c r="A4" s="4" t="s">
        <v>63</v>
      </c>
      <c r="B4" s="4">
        <v>15</v>
      </c>
      <c r="C4" s="4">
        <v>18</v>
      </c>
      <c r="D4" s="5">
        <v>0.19048000000000001</v>
      </c>
      <c r="E4" s="6">
        <v>0.66249999999999998</v>
      </c>
    </row>
    <row r="5" spans="1:5" x14ac:dyDescent="0.25">
      <c r="A5" s="4" t="s">
        <v>64</v>
      </c>
      <c r="B5" s="4">
        <v>31</v>
      </c>
      <c r="C5" s="4">
        <v>49</v>
      </c>
      <c r="D5" s="7">
        <v>6.0208000000000004</v>
      </c>
      <c r="E5" s="8">
        <v>1.414E-2</v>
      </c>
    </row>
    <row r="6" spans="1:5" x14ac:dyDescent="0.25">
      <c r="A6" s="4" t="s">
        <v>77</v>
      </c>
      <c r="B6" s="4">
        <v>13</v>
      </c>
      <c r="C6" s="4">
        <v>22</v>
      </c>
      <c r="D6" s="5">
        <v>2.0644999999999998</v>
      </c>
      <c r="E6" s="6">
        <v>0.15079999999999999</v>
      </c>
    </row>
    <row r="7" spans="1:5" x14ac:dyDescent="0.25">
      <c r="A7" s="4" t="s">
        <v>65</v>
      </c>
      <c r="B7" s="4">
        <v>16</v>
      </c>
      <c r="C7" s="4">
        <v>9</v>
      </c>
      <c r="D7" s="5">
        <v>1.3061</v>
      </c>
      <c r="E7" s="6">
        <v>0.25309999999999999</v>
      </c>
    </row>
    <row r="8" spans="1:5" x14ac:dyDescent="0.25">
      <c r="A8" s="4" t="s">
        <v>66</v>
      </c>
      <c r="B8" s="4">
        <v>74</v>
      </c>
      <c r="C8" s="4">
        <v>49</v>
      </c>
      <c r="D8" s="7">
        <v>5.9752999999999998</v>
      </c>
      <c r="E8" s="8">
        <v>1.451E-2</v>
      </c>
    </row>
    <row r="9" spans="1:5" x14ac:dyDescent="0.25">
      <c r="A9" s="4" t="s">
        <v>67</v>
      </c>
      <c r="B9" s="4">
        <v>31</v>
      </c>
      <c r="C9" s="4">
        <v>34</v>
      </c>
      <c r="D9" s="5">
        <v>9.7560999999999995E-2</v>
      </c>
      <c r="E9" s="6">
        <v>0.75480000000000003</v>
      </c>
    </row>
    <row r="10" spans="1:5" x14ac:dyDescent="0.25">
      <c r="A10" s="4" t="s">
        <v>68</v>
      </c>
      <c r="B10" s="4">
        <v>13</v>
      </c>
      <c r="C10" s="4">
        <v>13</v>
      </c>
      <c r="D10" s="5">
        <v>0</v>
      </c>
      <c r="E10" s="6">
        <v>1</v>
      </c>
    </row>
    <row r="11" spans="1:5" x14ac:dyDescent="0.25">
      <c r="A11" s="4" t="s">
        <v>69</v>
      </c>
      <c r="B11" s="4">
        <v>40</v>
      </c>
      <c r="C11" s="4">
        <v>31</v>
      </c>
      <c r="D11" s="5">
        <v>1.3061</v>
      </c>
      <c r="E11" s="6">
        <v>0.25309999999999999</v>
      </c>
    </row>
    <row r="12" spans="1:5" x14ac:dyDescent="0.25">
      <c r="A12" s="4" t="s">
        <v>70</v>
      </c>
      <c r="B12" s="4">
        <v>31</v>
      </c>
      <c r="C12" s="4">
        <v>24</v>
      </c>
      <c r="D12" s="5">
        <v>1.1613</v>
      </c>
      <c r="E12" s="6">
        <v>0.28120000000000001</v>
      </c>
    </row>
    <row r="13" spans="1:5" x14ac:dyDescent="0.25">
      <c r="A13" s="4" t="s">
        <v>71</v>
      </c>
      <c r="B13" s="4">
        <v>29</v>
      </c>
      <c r="C13" s="4">
        <v>20</v>
      </c>
      <c r="D13" s="5">
        <v>0.43242999999999998</v>
      </c>
      <c r="E13" s="6">
        <v>0.51080000000000003</v>
      </c>
    </row>
    <row r="14" spans="1:5" x14ac:dyDescent="0.25">
      <c r="A14" s="4" t="s">
        <v>72</v>
      </c>
      <c r="B14" s="4">
        <v>7</v>
      </c>
      <c r="C14" s="4">
        <v>4</v>
      </c>
      <c r="D14" s="5">
        <v>0.36364000000000002</v>
      </c>
      <c r="E14" s="6">
        <v>0.54649999999999999</v>
      </c>
    </row>
    <row r="15" spans="1:5" x14ac:dyDescent="0.25">
      <c r="A15" s="4" t="s">
        <v>73</v>
      </c>
      <c r="B15" s="4">
        <v>10</v>
      </c>
      <c r="C15" s="4">
        <v>5</v>
      </c>
      <c r="D15" s="5">
        <v>1.3061</v>
      </c>
      <c r="E15" s="6">
        <v>0.25309999999999999</v>
      </c>
    </row>
    <row r="16" spans="1:5" x14ac:dyDescent="0.25">
      <c r="A16" s="4" t="s">
        <v>74</v>
      </c>
      <c r="B16" s="4">
        <v>10</v>
      </c>
      <c r="C16" s="4">
        <v>9</v>
      </c>
      <c r="D16" s="4">
        <v>0</v>
      </c>
      <c r="E16" s="6">
        <v>1</v>
      </c>
    </row>
    <row r="17" spans="1:5" x14ac:dyDescent="0.25">
      <c r="A17" s="4" t="s">
        <v>75</v>
      </c>
      <c r="B17" s="4">
        <v>12</v>
      </c>
      <c r="C17" s="4">
        <v>11</v>
      </c>
      <c r="D17" s="4">
        <v>0</v>
      </c>
      <c r="E17" s="6">
        <v>1</v>
      </c>
    </row>
    <row r="18" spans="1:5" x14ac:dyDescent="0.25">
      <c r="A18" s="4" t="s">
        <v>76</v>
      </c>
      <c r="B18" s="4">
        <v>51</v>
      </c>
      <c r="C18" s="4">
        <v>72</v>
      </c>
      <c r="D18" s="7">
        <v>5.6337999999999999</v>
      </c>
      <c r="E18" s="8">
        <v>1.762E-2</v>
      </c>
    </row>
  </sheetData>
  <sortState xmlns:xlrd2="http://schemas.microsoft.com/office/spreadsheetml/2017/richdata2" ref="A2:E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A9311-8B28-488C-9C05-4E07269B0C08}">
  <dimension ref="A1:C6"/>
  <sheetViews>
    <sheetView workbookViewId="0">
      <selection activeCell="B11" sqref="B11"/>
    </sheetView>
  </sheetViews>
  <sheetFormatPr defaultRowHeight="15" x14ac:dyDescent="0.25"/>
  <cols>
    <col min="1" max="1" width="16.42578125" customWidth="1"/>
    <col min="2" max="2" width="23.42578125" customWidth="1"/>
    <col min="3" max="3" width="17.140625" customWidth="1"/>
  </cols>
  <sheetData>
    <row r="1" spans="1:3" x14ac:dyDescent="0.25">
      <c r="B1" t="s">
        <v>43</v>
      </c>
      <c r="C1" t="s">
        <v>44</v>
      </c>
    </row>
    <row r="2" spans="1:3" x14ac:dyDescent="0.25">
      <c r="A2" t="s">
        <v>38</v>
      </c>
      <c r="B2">
        <v>3</v>
      </c>
      <c r="C2">
        <v>0</v>
      </c>
    </row>
    <row r="3" spans="1:3" x14ac:dyDescent="0.25">
      <c r="A3" t="s">
        <v>39</v>
      </c>
      <c r="B3">
        <v>110</v>
      </c>
      <c r="C3">
        <v>61</v>
      </c>
    </row>
    <row r="4" spans="1:3" x14ac:dyDescent="0.25">
      <c r="A4" t="s">
        <v>40</v>
      </c>
      <c r="B4">
        <v>5</v>
      </c>
      <c r="C4">
        <v>72</v>
      </c>
    </row>
    <row r="5" spans="1:3" x14ac:dyDescent="0.25">
      <c r="A5" t="s">
        <v>41</v>
      </c>
      <c r="B5">
        <v>36</v>
      </c>
      <c r="C5">
        <v>14</v>
      </c>
    </row>
    <row r="6" spans="1:3" x14ac:dyDescent="0.25">
      <c r="A6" t="s">
        <v>42</v>
      </c>
      <c r="B6">
        <v>274</v>
      </c>
      <c r="C6">
        <v>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357B-58B3-4182-A6BE-34C034BB2565}">
  <dimension ref="A1:D6"/>
  <sheetViews>
    <sheetView zoomScale="85" zoomScaleNormal="85" workbookViewId="0">
      <selection activeCell="W16" sqref="W16"/>
    </sheetView>
  </sheetViews>
  <sheetFormatPr defaultRowHeight="15" x14ac:dyDescent="0.25"/>
  <cols>
    <col min="1" max="1" width="17.42578125" customWidth="1"/>
    <col min="2" max="2" width="25.28515625" customWidth="1"/>
  </cols>
  <sheetData>
    <row r="1" spans="1:4" x14ac:dyDescent="0.25">
      <c r="A1" t="s">
        <v>34</v>
      </c>
      <c r="B1" t="s">
        <v>37</v>
      </c>
      <c r="C1" t="s">
        <v>50</v>
      </c>
    </row>
    <row r="2" spans="1:4" x14ac:dyDescent="0.25">
      <c r="A2" t="s">
        <v>48</v>
      </c>
      <c r="B2">
        <v>64</v>
      </c>
      <c r="C2" s="2">
        <f>B2/304*100</f>
        <v>21.052631578947366</v>
      </c>
      <c r="D2" s="2"/>
    </row>
    <row r="3" spans="1:4" x14ac:dyDescent="0.25">
      <c r="A3" t="s">
        <v>47</v>
      </c>
      <c r="B3">
        <v>94</v>
      </c>
      <c r="C3" s="2">
        <f>B3/304*100</f>
        <v>30.921052631578949</v>
      </c>
      <c r="D3" s="2"/>
    </row>
    <row r="4" spans="1:4" x14ac:dyDescent="0.25">
      <c r="A4" t="s">
        <v>46</v>
      </c>
      <c r="B4">
        <v>87</v>
      </c>
      <c r="C4" s="2">
        <f>B4/304*100</f>
        <v>28.618421052631575</v>
      </c>
      <c r="D4" s="2"/>
    </row>
    <row r="5" spans="1:4" x14ac:dyDescent="0.25">
      <c r="A5" t="s">
        <v>45</v>
      </c>
      <c r="B5">
        <v>82</v>
      </c>
      <c r="C5" s="2">
        <f>B5/304*100</f>
        <v>26.973684210526315</v>
      </c>
      <c r="D5" s="2"/>
    </row>
    <row r="6" spans="1:4" x14ac:dyDescent="0.25">
      <c r="A6" t="s">
        <v>49</v>
      </c>
      <c r="B6">
        <v>33</v>
      </c>
      <c r="C6" s="2">
        <f>B6/304*100</f>
        <v>10.855263157894738</v>
      </c>
      <c r="D6" s="2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90a8197-7b83-4f10-89b9-83189be3835e}" enabled="0" method="" siteId="{490a8197-7b83-4f10-89b9-83189be3835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Q14 and Q15</vt:lpstr>
      <vt:lpstr>Table</vt:lpstr>
      <vt:lpstr>Q16 and Q17</vt:lpstr>
      <vt:lpstr>Q19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MORGAN</dc:creator>
  <cp:lastModifiedBy>MATTHEW MORGAN</cp:lastModifiedBy>
  <dcterms:created xsi:type="dcterms:W3CDTF">2025-07-30T15:08:20Z</dcterms:created>
  <dcterms:modified xsi:type="dcterms:W3CDTF">2026-02-18T11:21:05Z</dcterms:modified>
</cp:coreProperties>
</file>